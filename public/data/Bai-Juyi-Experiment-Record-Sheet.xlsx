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E9D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14" customWidth="1" min="3" max="3"/>
    <col width="18" customWidth="1" min="4" max="4"/>
    <col width="10" customWidth="1" min="5" max="5"/>
    <col width="18" customWidth="1" min="6" max="6"/>
    <col width="10" customWidth="1" min="7" max="7"/>
    <col width="22" customWidth="1" min="8" max="8"/>
    <col width="18" customWidth="1" min="9" max="9"/>
    <col width="22" customWidth="1" min="10" max="10"/>
    <col width="11" customWidth="1" min="11" max="11"/>
    <col width="11" customWidth="1" min="12" max="12"/>
    <col width="30" customWidth="1" min="13" max="13"/>
    <col width="16" customWidth="1" min="14" max="14"/>
    <col width="14" customWidth="1" min="15" max="15"/>
    <col width="18" customWidth="1" min="16" max="16"/>
    <col width="16" customWidth="1" min="17" max="17"/>
  </cols>
  <sheetData>
    <row r="1">
      <c r="A1" s="1" t="inlineStr">
        <is>
          <t>#</t>
        </is>
      </c>
      <c r="B1" s="1" t="inlineStr">
        <is>
          <t>Poem title 詩題</t>
        </is>
      </c>
      <c r="C1" s="1" t="inlineStr">
        <is>
          <t>Form of address 稱謂</t>
        </is>
      </c>
      <c r="D1" s="1" t="inlineStr">
        <is>
          <t>A: AI answer (title only)</t>
        </is>
      </c>
      <c r="E1" s="1" t="inlineStr">
        <is>
          <t>A: confidence</t>
        </is>
      </c>
      <c r="F1" s="1" t="inlineStr">
        <is>
          <t>B: AI answer (title + sources)</t>
        </is>
      </c>
      <c r="G1" s="1" t="inlineStr">
        <is>
          <t>B: confidence</t>
        </is>
      </c>
      <c r="H1" s="1" t="inlineStr">
        <is>
          <t>B: sources given</t>
        </is>
      </c>
      <c r="I1" s="1" t="inlineStr">
        <is>
          <t>Where to look in 箋校 (卷·頁)</t>
        </is>
      </c>
      <c r="J1" s="1" t="inlineStr">
        <is>
          <t>箋校 says (your reading)</t>
        </is>
      </c>
      <c r="K1" s="1" t="inlineStr">
        <is>
          <t>A verdict</t>
        </is>
      </c>
      <c r="L1" s="1" t="inlineStr">
        <is>
          <t>B verdict</t>
        </is>
      </c>
      <c r="M1" s="1" t="inlineStr">
        <is>
          <t>Notes / good essay example?</t>
        </is>
      </c>
      <c r="N1" s="1" t="inlineStr">
        <is>
          <t>Year 年 (e.g. 833, 833?, 831-833)</t>
        </is>
      </c>
      <c r="O1" s="1" t="inlineStr">
        <is>
          <t>Bai's place 白居易所在</t>
        </is>
      </c>
      <c r="P1" s="1" t="inlineStr">
        <is>
          <t>Addressee's post 受詩者官職</t>
        </is>
      </c>
      <c r="Q1" s="1" t="inlineStr">
        <is>
          <t>Addressee's place 受詩者所在</t>
        </is>
      </c>
    </row>
    <row r="2">
      <c r="A2" t="n">
        <v>1</v>
      </c>
      <c r="B2" t="inlineStr">
        <is>
          <t>酬元九對新栽竹有懷見寄</t>
        </is>
      </c>
      <c r="C2" t="inlineStr">
        <is>
          <t>元九</t>
        </is>
      </c>
      <c r="D2" t="inlineStr"/>
      <c r="E2" t="inlineStr"/>
      <c r="F2" t="inlineStr"/>
      <c r="G2" t="inlineStr"/>
      <c r="H2" t="inlineStr"/>
      <c r="I2" t="inlineStr">
        <is>
          <t>卷一·34</t>
        </is>
      </c>
      <c r="J2" t="inlineStr"/>
      <c r="K2" t="inlineStr"/>
      <c r="L2" t="inlineStr"/>
      <c r="M2" t="inlineStr"/>
    </row>
    <row r="3">
      <c r="A3" t="n">
        <v>2</v>
      </c>
      <c r="B3" t="inlineStr">
        <is>
          <t>夢劉二十八因詩問之</t>
        </is>
      </c>
      <c r="C3" t="inlineStr">
        <is>
          <t>劉二十八</t>
        </is>
      </c>
      <c r="D3" t="inlineStr"/>
      <c r="E3" t="inlineStr"/>
      <c r="F3" t="inlineStr"/>
      <c r="G3" t="inlineStr"/>
      <c r="H3" t="inlineStr"/>
      <c r="I3" t="inlineStr">
        <is>
          <t>卷三十·2011</t>
        </is>
      </c>
      <c r="J3" t="inlineStr"/>
      <c r="K3" t="inlineStr"/>
      <c r="L3" t="inlineStr"/>
      <c r="M3" t="inlineStr"/>
    </row>
    <row r="4">
      <c r="A4" t="n">
        <v>3</v>
      </c>
      <c r="B4" t="inlineStr">
        <is>
          <t>酬李二十侍郎</t>
        </is>
      </c>
      <c r="C4" t="inlineStr">
        <is>
          <t>李二十</t>
        </is>
      </c>
      <c r="D4" t="inlineStr"/>
      <c r="E4" t="inlineStr"/>
      <c r="F4" t="inlineStr"/>
      <c r="G4" t="inlineStr"/>
      <c r="H4" t="inlineStr"/>
      <c r="I4" t="inlineStr">
        <is>
          <t>卷三十一·2055</t>
        </is>
      </c>
      <c r="J4" t="inlineStr"/>
      <c r="K4" t="inlineStr"/>
      <c r="L4" t="inlineStr"/>
      <c r="M4" t="inlineStr"/>
    </row>
    <row r="5">
      <c r="A5" t="n">
        <v>4</v>
      </c>
      <c r="B5" t="inlineStr">
        <is>
          <t>醉送李二十常侍赴鎮浙東</t>
        </is>
      </c>
      <c r="C5" t="inlineStr">
        <is>
          <t>李二十</t>
        </is>
      </c>
      <c r="D5" t="inlineStr"/>
      <c r="E5" t="inlineStr"/>
      <c r="F5" t="inlineStr"/>
      <c r="G5" t="inlineStr"/>
      <c r="H5" t="inlineStr"/>
      <c r="I5" t="inlineStr">
        <is>
          <t>卷三十一·2068</t>
        </is>
      </c>
      <c r="J5" t="inlineStr"/>
      <c r="K5" t="inlineStr"/>
      <c r="L5" t="inlineStr"/>
      <c r="M5" t="inlineStr"/>
    </row>
    <row r="6">
      <c r="A6" t="n">
        <v>5</v>
      </c>
      <c r="B6" t="inlineStr">
        <is>
          <t>酬張十八訪宿見贈</t>
        </is>
      </c>
      <c r="C6" t="inlineStr">
        <is>
          <t>張十八</t>
        </is>
      </c>
      <c r="D6" t="inlineStr"/>
      <c r="E6" t="inlineStr"/>
      <c r="F6" t="inlineStr"/>
      <c r="G6" t="inlineStr"/>
      <c r="H6" t="inlineStr"/>
      <c r="I6" t="inlineStr">
        <is>
          <t>卷六·363</t>
        </is>
      </c>
      <c r="J6" t="inlineStr"/>
      <c r="K6" t="inlineStr"/>
      <c r="L6" t="inlineStr"/>
      <c r="M6" t="inlineStr"/>
    </row>
    <row r="7">
      <c r="A7" t="n">
        <v>6</v>
      </c>
      <c r="B7" t="inlineStr">
        <is>
          <t>荅皇甫十郎中秋深酒熟見憶</t>
        </is>
      </c>
      <c r="C7" t="inlineStr">
        <is>
          <t>皇甫十</t>
        </is>
      </c>
      <c r="D7" t="inlineStr"/>
      <c r="E7" t="inlineStr"/>
      <c r="F7" t="inlineStr"/>
      <c r="G7" t="inlineStr"/>
      <c r="H7" t="inlineStr"/>
      <c r="I7" t="inlineStr">
        <is>
          <t>卷三十二·2137</t>
        </is>
      </c>
      <c r="J7" t="inlineStr"/>
      <c r="K7" t="inlineStr"/>
      <c r="L7" t="inlineStr"/>
      <c r="M7" t="inlineStr"/>
    </row>
    <row r="8">
      <c r="A8" t="n">
        <v>7</v>
      </c>
      <c r="B8" t="inlineStr">
        <is>
          <t>寄楊六侍郎</t>
        </is>
      </c>
      <c r="C8" t="inlineStr">
        <is>
          <t>楊六</t>
        </is>
      </c>
      <c r="D8" t="inlineStr"/>
      <c r="E8" t="inlineStr"/>
      <c r="F8" t="inlineStr"/>
      <c r="G8" t="inlineStr"/>
      <c r="H8" t="inlineStr"/>
      <c r="I8" t="inlineStr">
        <is>
          <t>卷三十二·2162</t>
        </is>
      </c>
      <c r="J8" t="inlineStr"/>
      <c r="K8" t="inlineStr"/>
      <c r="L8" t="inlineStr"/>
      <c r="M8" t="inlineStr"/>
    </row>
    <row r="9">
      <c r="A9" t="n">
        <v>8</v>
      </c>
      <c r="B9" t="inlineStr">
        <is>
          <t>和楊六尚書喜兩弟漢公轉吳興魯士賜章服命賓開宴用慶恩榮賦長句見示</t>
        </is>
      </c>
      <c r="C9" t="inlineStr">
        <is>
          <t>楊六</t>
        </is>
      </c>
      <c r="D9" t="inlineStr"/>
      <c r="E9" t="inlineStr"/>
      <c r="F9" t="inlineStr"/>
      <c r="G9" t="inlineStr"/>
      <c r="H9" t="inlineStr"/>
      <c r="I9" t="inlineStr">
        <is>
          <t>卷三十四·2287</t>
        </is>
      </c>
      <c r="J9" t="inlineStr"/>
      <c r="K9" t="inlineStr"/>
      <c r="L9" t="inlineStr"/>
      <c r="M9" t="inlineStr"/>
    </row>
    <row r="10">
      <c r="A10" t="n">
        <v>9</v>
      </c>
      <c r="B10" t="inlineStr">
        <is>
          <t>送楊八給事赴常州</t>
        </is>
      </c>
      <c r="C10" t="inlineStr">
        <is>
          <t>楊八</t>
        </is>
      </c>
      <c r="D10" t="inlineStr"/>
      <c r="E10" t="inlineStr"/>
      <c r="F10" t="inlineStr"/>
      <c r="G10" t="inlineStr"/>
      <c r="H10" t="inlineStr"/>
      <c r="I10" t="inlineStr">
        <is>
          <t>卷三十一·2067</t>
        </is>
      </c>
      <c r="J10" t="inlineStr"/>
      <c r="K10" t="inlineStr"/>
      <c r="L10" t="inlineStr"/>
      <c r="M10" t="inlineStr"/>
    </row>
    <row r="11">
      <c r="A11" t="n">
        <v>10</v>
      </c>
      <c r="B11" t="inlineStr">
        <is>
          <t>雨中訪崔十八</t>
        </is>
      </c>
      <c r="C11" t="inlineStr">
        <is>
          <t>崔十八</t>
        </is>
      </c>
      <c r="D11" t="inlineStr"/>
      <c r="E11" t="inlineStr"/>
      <c r="F11" t="inlineStr"/>
      <c r="G11" t="inlineStr"/>
      <c r="H11" t="inlineStr"/>
      <c r="I11" t="inlineStr">
        <is>
          <t>外集卷上·3814</t>
        </is>
      </c>
      <c r="J11" t="inlineStr"/>
      <c r="K11" t="inlineStr"/>
      <c r="L11" t="inlineStr"/>
      <c r="M11" t="inlineStr"/>
    </row>
    <row r="12">
      <c r="A12" t="n">
        <v>11</v>
      </c>
      <c r="B12" t="inlineStr">
        <is>
          <t>廬山草堂夜雨獨宿寄牛二李七庾三十二員外</t>
        </is>
      </c>
      <c r="C12" t="inlineStr">
        <is>
          <t>牛二</t>
        </is>
      </c>
      <c r="D12" t="inlineStr"/>
      <c r="E12" t="inlineStr"/>
      <c r="F12" t="inlineStr"/>
      <c r="G12" t="inlineStr"/>
      <c r="H12" t="inlineStr"/>
      <c r="I12" t="inlineStr">
        <is>
          <t>卷十七·1111</t>
        </is>
      </c>
      <c r="J12" t="inlineStr"/>
      <c r="K12" t="inlineStr"/>
      <c r="L12" t="inlineStr"/>
      <c r="M12" t="inlineStr"/>
    </row>
    <row r="13">
      <c r="A13" t="n">
        <v>12</v>
      </c>
      <c r="B13" t="inlineStr">
        <is>
          <t>廬山草堂夜雨獨宿寄牛二李七庾三十二員外</t>
        </is>
      </c>
      <c r="C13" t="inlineStr">
        <is>
          <t>李七</t>
        </is>
      </c>
      <c r="D13" t="inlineStr"/>
      <c r="E13" t="inlineStr"/>
      <c r="F13" t="inlineStr"/>
      <c r="G13" t="inlineStr"/>
      <c r="H13" t="inlineStr"/>
      <c r="I13" t="inlineStr">
        <is>
          <t>卷十七·1112</t>
        </is>
      </c>
      <c r="J13" t="inlineStr"/>
      <c r="K13" t="inlineStr"/>
      <c r="L13" t="inlineStr"/>
      <c r="M13" t="inlineStr"/>
    </row>
    <row r="14">
      <c r="A14" t="n">
        <v>13</v>
      </c>
      <c r="B14" t="inlineStr">
        <is>
          <t>廬山草堂夜雨獨宿寄牛二李七庾三十二員外</t>
        </is>
      </c>
      <c r="C14" t="inlineStr">
        <is>
          <t>庾三十二</t>
        </is>
      </c>
      <c r="D14" t="inlineStr"/>
      <c r="E14" t="inlineStr"/>
      <c r="F14" t="inlineStr"/>
      <c r="G14" t="inlineStr"/>
      <c r="H14" t="inlineStr"/>
      <c r="I14" t="inlineStr">
        <is>
          <t>卷十七·1113；卷十六·972</t>
        </is>
      </c>
      <c r="J14" t="inlineStr"/>
      <c r="K14" t="inlineStr"/>
      <c r="L14" t="inlineStr"/>
      <c r="M14" t="inlineStr"/>
    </row>
    <row r="15">
      <c r="A15" t="n">
        <v>14</v>
      </c>
      <c r="B15" t="inlineStr">
        <is>
          <t>東南行一百韻寄通州元九侍御澧州李十一舍人果州崔二十二使君開州韋大員外庾三十二補闕杜十四拾遺李二十助教員外竇七校書</t>
        </is>
      </c>
      <c r="C15" t="inlineStr">
        <is>
          <t>崔二十二</t>
        </is>
      </c>
      <c r="D15" t="inlineStr"/>
      <c r="E15" t="inlineStr"/>
      <c r="F15" t="inlineStr"/>
      <c r="G15" t="inlineStr"/>
      <c r="H15" t="inlineStr"/>
      <c r="I15" t="inlineStr">
        <is>
          <t>卷十六·971</t>
        </is>
      </c>
      <c r="J15" t="inlineStr"/>
      <c r="K15" t="inlineStr"/>
      <c r="L15" t="inlineStr"/>
      <c r="M15" t="inlineStr"/>
    </row>
    <row r="16">
      <c r="A16" t="n">
        <v>15</v>
      </c>
      <c r="B16" t="inlineStr">
        <is>
          <t>東南行一百韻寄通州元九侍御澧州李十一舍人果州崔二十二使君開州韋大員外庾三十二補闕杜十四拾遺李二十助教員外竇七校書</t>
        </is>
      </c>
      <c r="C16" t="inlineStr">
        <is>
          <t>韋大</t>
        </is>
      </c>
      <c r="D16" t="inlineStr"/>
      <c r="E16" t="inlineStr"/>
      <c r="F16" t="inlineStr"/>
      <c r="G16" t="inlineStr"/>
      <c r="H16" t="inlineStr"/>
      <c r="I16" t="inlineStr">
        <is>
          <t>卷十六·971</t>
        </is>
      </c>
      <c r="J16" t="inlineStr"/>
      <c r="K16" t="inlineStr"/>
      <c r="L16" t="inlineStr"/>
      <c r="M16" t="inlineStr"/>
    </row>
    <row r="17">
      <c r="A17" t="n">
        <v>16</v>
      </c>
      <c r="B17" t="inlineStr">
        <is>
          <t>東南行一百韻寄通州元九侍御澧州李十一舍人果州崔二十二使君開州韋大員外庾三十二補闕杜十四拾遺李二十助教員外竇七校書</t>
        </is>
      </c>
      <c r="C17" t="inlineStr">
        <is>
          <t>杜十四</t>
        </is>
      </c>
      <c r="D17" t="inlineStr"/>
      <c r="E17" t="inlineStr"/>
      <c r="F17" t="inlineStr"/>
      <c r="G17" t="inlineStr"/>
      <c r="H17" t="inlineStr"/>
      <c r="I17" t="inlineStr">
        <is>
          <t>卷十六·972</t>
        </is>
      </c>
      <c r="J17" t="inlineStr"/>
      <c r="K17" t="inlineStr"/>
      <c r="L17" t="inlineStr"/>
      <c r="M17" t="inlineStr"/>
    </row>
    <row r="18">
      <c r="A18" t="n">
        <v>17</v>
      </c>
      <c r="B18" t="inlineStr">
        <is>
          <t>東南行一百韻寄通州元九侍御澧州李十一舍人果州崔二十二使君開州韋大員外庾三十二補闕杜十四拾遺李二十助教員外竇七校書</t>
        </is>
      </c>
      <c r="C18" t="inlineStr">
        <is>
          <t>竇七</t>
        </is>
      </c>
      <c r="D18" t="inlineStr"/>
      <c r="E18" t="inlineStr"/>
      <c r="F18" t="inlineStr"/>
      <c r="G18" t="inlineStr"/>
      <c r="H18" t="inlineStr"/>
      <c r="I18" t="inlineStr">
        <is>
          <t>卷十六·973</t>
        </is>
      </c>
      <c r="J18" t="inlineStr"/>
      <c r="K18" t="inlineStr"/>
      <c r="L18" t="inlineStr"/>
      <c r="M18" t="inlineStr"/>
    </row>
    <row r="19">
      <c r="A19" t="n">
        <v>18</v>
      </c>
      <c r="B19" t="inlineStr">
        <is>
          <t>東南行一百韻寄通州元九侍御澧州李十一舍人果州崔二十二使君開州韋大員外庾三十二補闕杜十四拾遺李二十助教員外竇七校書</t>
        </is>
      </c>
      <c r="C19" t="inlineStr">
        <is>
          <t>李二十</t>
        </is>
      </c>
      <c r="D19" t="inlineStr"/>
      <c r="E19" t="inlineStr"/>
      <c r="F19" t="inlineStr"/>
      <c r="G19" t="inlineStr"/>
      <c r="H19" t="inlineStr"/>
      <c r="I19" t="inlineStr">
        <is>
          <t>卷十六·972</t>
        </is>
      </c>
      <c r="J19" t="inlineStr"/>
      <c r="K19" t="inlineStr"/>
      <c r="L19" t="inlineStr"/>
      <c r="M19" t="inlineStr"/>
    </row>
    <row r="20">
      <c r="A20" t="n">
        <v>19</v>
      </c>
      <c r="B20" t="inlineStr">
        <is>
          <t>翰林中送獨孤二十七起居罷職出院</t>
        </is>
      </c>
      <c r="C20" t="inlineStr">
        <is>
          <t>獨孤二十七</t>
        </is>
      </c>
      <c r="D20" t="inlineStr"/>
      <c r="E20" t="inlineStr"/>
      <c r="F20" t="inlineStr"/>
      <c r="G20" t="inlineStr"/>
      <c r="H20" t="inlineStr"/>
      <c r="I20" t="inlineStr">
        <is>
          <t>卷十四·805</t>
        </is>
      </c>
      <c r="J20" t="inlineStr"/>
      <c r="K20" t="inlineStr"/>
      <c r="L20" t="inlineStr"/>
      <c r="M20" t="inlineStr"/>
    </row>
    <row r="21">
      <c r="A21" t="n">
        <v>20</v>
      </c>
      <c r="B21" t="inlineStr">
        <is>
          <t>問劉十九</t>
        </is>
      </c>
      <c r="C21" t="inlineStr">
        <is>
          <t>劉十九</t>
        </is>
      </c>
      <c r="D21" t="inlineStr"/>
      <c r="E21" t="inlineStr"/>
      <c r="F21" t="inlineStr"/>
      <c r="G21" t="inlineStr"/>
      <c r="H21" t="inlineStr"/>
      <c r="I21" t="inlineStr">
        <is>
          <t>卷十七·1072</t>
        </is>
      </c>
      <c r="J21" t="inlineStr"/>
      <c r="K21" t="inlineStr"/>
      <c r="L21" t="inlineStr"/>
      <c r="M21" t="inlineStr"/>
    </row>
    <row r="22">
      <c r="A22" t="n">
        <v>21</v>
      </c>
      <c r="B22" t="inlineStr">
        <is>
          <t>酬舒三員外見贈長句</t>
        </is>
      </c>
      <c r="C22" t="inlineStr">
        <is>
          <t>舒三</t>
        </is>
      </c>
      <c r="D22" t="inlineStr"/>
      <c r="E22" t="inlineStr"/>
      <c r="F22" t="inlineStr"/>
      <c r="G22" t="inlineStr"/>
      <c r="H22" t="inlineStr"/>
      <c r="I22" t="inlineStr">
        <is>
          <t>卷三十一·2049</t>
        </is>
      </c>
      <c r="J22" t="inlineStr"/>
      <c r="K22" t="inlineStr"/>
      <c r="L22" t="inlineStr"/>
      <c r="M22" t="inlineStr"/>
    </row>
    <row r="23">
      <c r="A23" t="n">
        <v>22</v>
      </c>
      <c r="B23" t="inlineStr">
        <is>
          <t>嚴十八郎中在郡日改制東南樓因名清輝未立標牓徵歸郎署予既到郡性愛樓居宴遊其間頗有幽致聊成十韻兼戲寄嚴</t>
        </is>
      </c>
      <c r="C23" t="inlineStr">
        <is>
          <t>嚴十八</t>
        </is>
      </c>
      <c r="D23" t="inlineStr"/>
      <c r="E23" t="inlineStr"/>
      <c r="F23" t="inlineStr"/>
      <c r="G23" t="inlineStr"/>
      <c r="H23" t="inlineStr"/>
      <c r="I23" t="inlineStr">
        <is>
          <t>卷八·456</t>
        </is>
      </c>
      <c r="J23" t="inlineStr"/>
      <c r="K23" t="inlineStr"/>
      <c r="L23" t="inlineStr"/>
      <c r="M23" t="inlineStr"/>
    </row>
    <row r="24">
      <c r="A24" t="n">
        <v>23</v>
      </c>
      <c r="B24" t="inlineStr">
        <is>
          <t>哭崔二十四常侍</t>
        </is>
      </c>
      <c r="C24" t="inlineStr">
        <is>
          <t>崔二十四</t>
        </is>
      </c>
      <c r="D24" t="inlineStr"/>
      <c r="E24" t="inlineStr"/>
      <c r="F24" t="inlineStr"/>
      <c r="G24" t="inlineStr"/>
      <c r="H24" t="inlineStr"/>
      <c r="I24" t="inlineStr">
        <is>
          <t>卷三十二·2122</t>
        </is>
      </c>
      <c r="J24" t="inlineStr"/>
      <c r="K24" t="inlineStr"/>
      <c r="L24" t="inlineStr"/>
      <c r="M24" t="inlineStr"/>
    </row>
    <row r="25">
      <c r="A25" t="n">
        <v>24</v>
      </c>
      <c r="B25" t="inlineStr">
        <is>
          <t>贈皇甫六張十五李二十三賓客</t>
        </is>
      </c>
      <c r="C25" t="inlineStr">
        <is>
          <t>皇甫六</t>
        </is>
      </c>
      <c r="D25" t="inlineStr"/>
      <c r="E25" t="inlineStr"/>
      <c r="F25" t="inlineStr"/>
      <c r="G25" t="inlineStr"/>
      <c r="H25" t="inlineStr"/>
      <c r="I25" t="inlineStr">
        <is>
          <t>卷三十一·2060</t>
        </is>
      </c>
      <c r="J25" t="inlineStr"/>
      <c r="K25" t="inlineStr"/>
      <c r="L25" t="inlineStr"/>
      <c r="M25" t="inlineStr"/>
    </row>
    <row r="26">
      <c r="A26" t="n">
        <v>25</v>
      </c>
      <c r="B26" t="inlineStr">
        <is>
          <t>贈皇甫六張十五李二十三賓客</t>
        </is>
      </c>
      <c r="C26" t="inlineStr">
        <is>
          <t>張十五</t>
        </is>
      </c>
      <c r="D26" t="inlineStr"/>
      <c r="E26" t="inlineStr"/>
      <c r="F26" t="inlineStr"/>
      <c r="G26" t="inlineStr"/>
      <c r="H26" t="inlineStr"/>
      <c r="I26" t="inlineStr">
        <is>
          <t>卷三十一·2060</t>
        </is>
      </c>
      <c r="J26" t="inlineStr"/>
      <c r="K26" t="inlineStr"/>
      <c r="L26" t="inlineStr"/>
      <c r="M26" t="inlineStr"/>
    </row>
    <row r="27">
      <c r="A27" t="n">
        <v>26</v>
      </c>
      <c r="B27" t="inlineStr">
        <is>
          <t>贈皇甫六張十五李二十三賓客</t>
        </is>
      </c>
      <c r="C27" t="inlineStr">
        <is>
          <t>李二十三</t>
        </is>
      </c>
      <c r="D27" t="inlineStr"/>
      <c r="E27" t="inlineStr"/>
      <c r="F27" t="inlineStr"/>
      <c r="G27" t="inlineStr"/>
      <c r="H27" t="inlineStr"/>
      <c r="I27" t="inlineStr">
        <is>
          <t>卷三十一·2060</t>
        </is>
      </c>
      <c r="J27" t="inlineStr"/>
      <c r="K27" t="inlineStr"/>
      <c r="L27" t="inlineStr"/>
      <c r="M27" t="inlineStr"/>
    </row>
    <row r="28">
      <c r="A28" t="n">
        <v>27</v>
      </c>
      <c r="B28" t="inlineStr">
        <is>
          <t>寄皇甫七</t>
        </is>
      </c>
      <c r="C28" t="inlineStr">
        <is>
          <t>皇甫七</t>
        </is>
      </c>
      <c r="D28" t="inlineStr"/>
      <c r="E28" t="inlineStr"/>
      <c r="F28" t="inlineStr"/>
      <c r="G28" t="inlineStr"/>
      <c r="H28" t="inlineStr"/>
      <c r="I28" t="inlineStr">
        <is>
          <t>卷二十三·1580</t>
        </is>
      </c>
      <c r="J28" t="inlineStr"/>
      <c r="K28" t="inlineStr"/>
      <c r="L28" t="inlineStr"/>
      <c r="M28" t="inlineStr"/>
    </row>
    <row r="29">
      <c r="A29" t="n">
        <v>28</v>
      </c>
      <c r="B29" t="inlineStr">
        <is>
          <t>酬吳七見寄</t>
        </is>
      </c>
      <c r="C29" t="inlineStr">
        <is>
          <t>吳七</t>
        </is>
      </c>
      <c r="D29" t="inlineStr"/>
      <c r="E29" t="inlineStr"/>
      <c r="F29" t="inlineStr"/>
      <c r="G29" t="inlineStr"/>
      <c r="H29" t="inlineStr"/>
      <c r="I29" t="inlineStr">
        <is>
          <t>卷六·368</t>
        </is>
      </c>
      <c r="J29" t="inlineStr"/>
      <c r="K29" t="inlineStr"/>
      <c r="L29" t="inlineStr"/>
      <c r="M29" t="inlineStr"/>
    </row>
    <row r="30">
      <c r="A30" t="n">
        <v>29</v>
      </c>
      <c r="B30" t="inlineStr">
        <is>
          <t>晚春欲攜酒尋沈四著作先以六韻寄之</t>
        </is>
      </c>
      <c r="C30" t="inlineStr">
        <is>
          <t>沈四</t>
        </is>
      </c>
      <c r="D30" t="inlineStr"/>
      <c r="E30" t="inlineStr"/>
      <c r="F30" t="inlineStr"/>
      <c r="G30" t="inlineStr"/>
      <c r="H30" t="inlineStr"/>
      <c r="I30" t="inlineStr">
        <is>
          <t>卷三十三·2227</t>
        </is>
      </c>
      <c r="J30" t="inlineStr"/>
      <c r="K30" t="inlineStr"/>
      <c r="L30" t="inlineStr"/>
      <c r="M30" t="inlineStr"/>
    </row>
    <row r="31">
      <c r="A31" t="n">
        <v>30</v>
      </c>
      <c r="B31" t="inlineStr">
        <is>
          <t>送劉五司馬赴任硤州兼寄崔使君</t>
        </is>
      </c>
      <c r="C31" t="inlineStr">
        <is>
          <t>劉五</t>
        </is>
      </c>
      <c r="D31" t="inlineStr"/>
      <c r="E31" t="inlineStr"/>
      <c r="F31" t="inlineStr"/>
      <c r="G31" t="inlineStr"/>
      <c r="H31" t="inlineStr"/>
      <c r="I31" t="inlineStr">
        <is>
          <t>卷三十一·2104</t>
        </is>
      </c>
      <c r="J31" t="inlineStr"/>
      <c r="K31" t="inlineStr"/>
      <c r="L31" t="inlineStr"/>
      <c r="M31" t="inlineStr"/>
    </row>
    <row r="32">
      <c r="A32" t="n">
        <v>31</v>
      </c>
      <c r="B32" t="inlineStr">
        <is>
          <t>二月一日作贈韋七庶子</t>
        </is>
      </c>
      <c r="C32" t="inlineStr">
        <is>
          <t>韋七</t>
        </is>
      </c>
      <c r="D32" t="inlineStr"/>
      <c r="E32" t="inlineStr"/>
      <c r="F32" t="inlineStr"/>
      <c r="G32" t="inlineStr"/>
      <c r="H32" t="inlineStr"/>
      <c r="I32" t="inlineStr">
        <is>
          <t>卷三十·2010</t>
        </is>
      </c>
      <c r="J32" t="inlineStr"/>
      <c r="K32" t="inlineStr"/>
      <c r="L32" t="inlineStr"/>
      <c r="M32" t="inlineStr"/>
    </row>
    <row r="33">
      <c r="A33" t="n">
        <v>32</v>
      </c>
      <c r="B33" t="inlineStr">
        <is>
          <t>酬鄭二司錄與李六郎中寒食日相過同宴見贈</t>
        </is>
      </c>
      <c r="C33" t="inlineStr">
        <is>
          <t>李六</t>
        </is>
      </c>
      <c r="D33" t="inlineStr"/>
      <c r="E33" t="inlineStr"/>
      <c r="F33" t="inlineStr"/>
      <c r="G33" t="inlineStr"/>
      <c r="H33" t="inlineStr"/>
      <c r="I33" t="inlineStr">
        <is>
          <t>卷三十三·2187</t>
        </is>
      </c>
      <c r="J33" t="inlineStr"/>
      <c r="K33" t="inlineStr"/>
      <c r="L33" t="inlineStr"/>
      <c r="M33" t="inlineStr"/>
    </row>
    <row r="34">
      <c r="A34" t="n">
        <v>33</v>
      </c>
      <c r="B34" t="inlineStr">
        <is>
          <t>荅元八郎中楊十二博士</t>
        </is>
      </c>
      <c r="C34" t="inlineStr">
        <is>
          <t>楊十二</t>
        </is>
      </c>
      <c r="D34" t="inlineStr"/>
      <c r="E34" t="inlineStr"/>
      <c r="F34" t="inlineStr"/>
      <c r="G34" t="inlineStr"/>
      <c r="H34" t="inlineStr"/>
      <c r="I34" t="inlineStr">
        <is>
          <t>卷十七·1102</t>
        </is>
      </c>
      <c r="J34" t="inlineStr"/>
      <c r="K34" t="inlineStr"/>
      <c r="L34" t="inlineStr"/>
      <c r="M34" t="inlineStr"/>
    </row>
    <row r="35">
      <c r="A35" t="n">
        <v>34</v>
      </c>
      <c r="B35" t="inlineStr">
        <is>
          <t>送蘄春李十九使君赴郡</t>
        </is>
      </c>
      <c r="C35" t="inlineStr">
        <is>
          <t>李十九</t>
        </is>
      </c>
      <c r="D35" t="inlineStr"/>
      <c r="E35" t="inlineStr"/>
      <c r="F35" t="inlineStr"/>
      <c r="G35" t="inlineStr"/>
      <c r="H35" t="inlineStr"/>
      <c r="I35" t="inlineStr">
        <is>
          <t>卷三十四·2268</t>
        </is>
      </c>
      <c r="J35" t="inlineStr"/>
      <c r="K35" t="inlineStr"/>
      <c r="L35" t="inlineStr"/>
      <c r="M35" t="inlineStr"/>
    </row>
    <row r="36">
      <c r="A36" t="n">
        <v>35</v>
      </c>
      <c r="B36" t="inlineStr">
        <is>
          <t>酬王十八李大見招遊山</t>
        </is>
      </c>
      <c r="C36" t="inlineStr">
        <is>
          <t>王十八</t>
        </is>
      </c>
      <c r="D36" t="inlineStr"/>
      <c r="E36" t="inlineStr"/>
      <c r="F36" t="inlineStr"/>
      <c r="G36" t="inlineStr"/>
      <c r="H36" t="inlineStr"/>
      <c r="I36" t="inlineStr">
        <is>
          <t>卷十三·759</t>
        </is>
      </c>
      <c r="J36" t="inlineStr"/>
      <c r="K36" t="inlineStr"/>
      <c r="L36" t="inlineStr"/>
      <c r="M36" t="inlineStr"/>
    </row>
  </sheetData>
  <dataValidations count="2">
    <dataValidation sqref="K2:L36" showDropDown="0" showInputMessage="0" showErrorMessage="0" allowBlank="1" type="list">
      <formula1>"correct,wrong,declined: answer exists,declined: none exists,partly"</formula1>
    </dataValidation>
    <dataValidation sqref="E2:E36 G2:G36"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24" customWidth="1" min="2" max="2"/>
    <col width="28" customWidth="1" min="3" max="3"/>
  </cols>
  <sheetData>
    <row r="1">
      <c r="A1" s="2" t="inlineStr">
        <is>
          <t>Measure</t>
        </is>
      </c>
      <c r="B1" s="2" t="inlineStr">
        <is>
          <t>Condition A (title only)</t>
        </is>
      </c>
      <c r="C1" s="2" t="inlineStr">
        <is>
          <t>Condition B (title + sources)</t>
        </is>
      </c>
    </row>
    <row r="2">
      <c r="A2" t="inlineStr">
        <is>
          <t>correct</t>
        </is>
      </c>
      <c r="B2">
        <f>COUNTIF(Record!K2:K36,"correct")</f>
        <v/>
      </c>
      <c r="C2">
        <f>COUNTIF(Record!L2:L36,"correct")</f>
        <v/>
      </c>
    </row>
    <row r="3">
      <c r="A3" t="inlineStr">
        <is>
          <t>wrong</t>
        </is>
      </c>
      <c r="B3">
        <f>COUNTIF(Record!K2:K36,"wrong")</f>
        <v/>
      </c>
      <c r="C3">
        <f>COUNTIF(Record!L2:L36,"wrong")</f>
        <v/>
      </c>
    </row>
    <row r="4">
      <c r="A4" t="inlineStr">
        <is>
          <t>declined (answer exists)</t>
        </is>
      </c>
      <c r="B4">
        <f>COUNTIF(Record!K2:K36,"declined: answer exists")</f>
        <v/>
      </c>
      <c r="C4">
        <f>COUNTIF(Record!L2:L36,"declined: answer exists")</f>
        <v/>
      </c>
    </row>
    <row r="5">
      <c r="A5" t="inlineStr">
        <is>
          <t>declined (no answer exists)</t>
        </is>
      </c>
      <c r="B5">
        <f>COUNTIF(Record!K2:K36,"declined: none exists")</f>
        <v/>
      </c>
      <c r="C5">
        <f>COUNTIF(Record!L2:L36,"declined: none exists")</f>
        <v/>
      </c>
    </row>
    <row r="6">
      <c r="A6" t="inlineStr">
        <is>
          <t>partly</t>
        </is>
      </c>
      <c r="B6">
        <f>COUNTIF(Record!K2:K36,"partly")</f>
        <v/>
      </c>
      <c r="C6">
        <f>COUNTIF(Record!L2:L36,"partly")</f>
        <v/>
      </c>
    </row>
    <row r="7">
      <c r="A7" t="inlineStr">
        <is>
          <t>total checked</t>
        </is>
      </c>
      <c r="B7">
        <f>COUNTA(Record!K2:K36)</f>
        <v/>
      </c>
      <c r="C7">
        <f>COUNTA(Record!L2:L36)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2026-10-26T05:50:27Z</dcterms:created>
  <dcterms:modified xmlns:dcterms="http://purl.org/dc/terms/" xmlns:xsi="http://www.w3.org/2001/XMLSchema-instance" xsi:type="dcterms:W3CDTF">2026-10-26T05:50:27Z</dcterms:modified>
</cp:coreProperties>
</file>